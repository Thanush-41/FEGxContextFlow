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33454d26c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act" sheetId="1" r:id="R6c037fc47d964dc3"/>
    <x:sheet xmlns:r="http://schemas.openxmlformats.org/officeDocument/2006/relationships" name="Drivers" sheetId="2" r:id="Rfe278a82895a44dc"/>
    <x:sheet xmlns:r="http://schemas.openxmlformats.org/officeDocument/2006/relationships" name="FEG context" sheetId="3" r:id="Rfe67c26d55d344d7"/>
  </x:sheets>
</x:workbook>
</file>

<file path=xl/comments1.xml><?xml version="1.0" encoding="utf-8"?>
<x:comments xmlns:x="http://schemas.openxmlformats.org/spreadsheetml/2006/main">
  <x:authors>
    <x:author>tc={411788D1-1925-4E31-B82A-4A4809BC00DC}</x:author>
    <x:author>tc={39FAD811-B754-4E91-BFB9-ABA06DB01AE7}</x:author>
    <x:author>tc={ADFDBE16-4624-4890-92F2-4C57DE86FA3D}</x:author>
    <x:author>tc={445D8309-7B00-48BB-892D-E043B353F6BD}</x:author>
    <x:author>tc={F597DDD6-E67B-4221-A6D3-396C3DBA8876}</x:author>
    <x:author>tc={904AFAD2-53A6-40EB-BB87-02C9460769E1}</x:author>
  </x:authors>
  <x:commentList>
    <x:comment ref="D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ECB 8 September 2026: EUR 1 = USD 1.1614. Divide USD prices by this input. Source: https://www.ecb.europa.eu/stats/policy_and_exchange_rates/euro_reference_exchange_rates/html/index.en.html</x:t>
        </x:r>
      </x:text>
    </x:comment>
    <x:comment ref="D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Azure GPT-Realtime-2.1 Global public USD list rate, checked 9 September 2026. Deployment alias alone does not verify SKU. https://azure.microsoft.com/en-us/pricing/details/azure-openai/</x:t>
        </x:r>
      </x:text>
    </x:comment>
    <x:comment ref="D1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Azure GPT-Realtime-2.1 Global public USD list rate, checked 9 September 2026. Deployment alias alone does not verify SKU. https://azure.microsoft.com/en-us/pricing/details/azure-openai/</x:t>
        </x:r>
      </x:text>
    </x:comment>
    <x:comment ref="D1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Azure GPT-Realtime-2.1 Global public USD list rate, checked 9 September 2026. Deployment alias alone does not verify SKU. https://azure.microsoft.com/en-us/pricing/details/azure-openai/</x:t>
        </x:r>
      </x:text>
    </x:comment>
    <x:comment ref="D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Azure GPT-Realtime-2.1 Global public USD list rate, checked 9 September 2026. Deployment alias alone does not verify SKU. https://azure.microsoft.com/en-us/pricing/details/azure-openai/</x:t>
        </x:r>
      </x:text>
    </x:comment>
    <x:comment ref="D1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Azure GPT-Realtime-2.1 Global public USD list rate, checked 9 September 2026. Deployment alias alone does not verify SKU. https://azure.microsoft.com/en-us/pricing/details/azure-openai/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000"/>
    <x:numFmt numFmtId="202" formatCode="0.000"/>
    <x:numFmt numFmtId="203" formatCode="0%"/>
    <x:numFmt numFmtId="204" formatCode="€#,##0.00;(€#,##0.00);–"/>
    <x:numFmt numFmtId="205" formatCode="0.0"/>
    <x:numFmt numFmtId="206" formatCode="0.00"/>
    <x:numFmt numFmtId="207" formatCode="#,##0"/>
  </x:numFmts>
  <x:fonts count="6">
    <x:font>
      <x:sz val="11"/>
      <x:name val="Carlito"/>
    </x:font>
    <x:font>
      <x:sz val="11"/>
      <x:color rgb="FF172338"/>
      <x:name val="Arial"/>
    </x:font>
    <x:font>
      <x:b/>
      <x:sz val="16"/>
      <x:color rgb="FF10151E"/>
      <x:name val="Arial"/>
    </x:font>
    <x:font>
      <x:b/>
      <x:sz val="11"/>
      <x:color rgb="FFFFFFFF"/>
      <x:name val="Arial"/>
    </x:font>
    <x:font>
      <x:sz val="11"/>
      <x:color rgb="FF2563EB"/>
      <x:name val="Arial"/>
    </x:font>
    <x:font>
      <x:b/>
      <x:sz val="11"/>
      <x:color rgb="FF17233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283F"/>
      </x:patternFill>
    </x:fill>
    <x:fill>
      <x:patternFill patternType="solid">
        <x:fgColor rgb="FFFFF0D1"/>
      </x:patternFill>
    </x:fill>
    <x:fill>
      <x:patternFill patternType="solid">
        <x:fgColor rgb="FFEAF0F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1" fillId="3" borderId="0" xfId="0" applyNumberFormat="1" applyFont="1" applyFill="1" applyBorder="1"/>
    <x:xf numFmtId="203" fontId="3" fillId="2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0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1" fillId="4" borderId="0" xfId="0" applyNumberFormat="1" applyFont="1" applyFill="1" applyBorder="1"/>
    <x:xf numFmtId="204" fontId="1" fillId="4" borderId="0" xfId="0" applyNumberFormat="1" applyFont="1" applyFill="1" applyBorder="1"/>
    <x:xf numFmtId="0" fontId="5" fillId="4" borderId="0" xfId="0" applyNumberFormat="1" applyFont="1" applyFill="1" applyBorder="1"/>
    <x:xf numFmtId="204" fontId="5" fillId="4" borderId="0" xfId="0" applyNumberFormat="1" applyFont="1" applyFill="1" applyBorder="1"/>
    <x:xf numFmtId="207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A2739"/>
      </x:font>
      <x:fill>
        <x:patternFill patternType="solid">
          <x:bgColor rgb="FFFD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dc087669945d7" /><Relationship Type="http://schemas.openxmlformats.org/officeDocument/2006/relationships/theme" Target="/xl/theme/theme1.xml" Id="R114c92b03d8144c8" /><Relationship Type="http://schemas.openxmlformats.org/officeDocument/2006/relationships/sharedStrings" Target="/xl/sharedStrings.xml" Id="Ra7134e59593746da" /><Relationship Type="http://schemas.openxmlformats.org/officeDocument/2006/relationships/worksheet" Target="/xl/worksheets/sheet1.xml" Id="R6c037fc47d964dc3" /><Relationship Type="http://schemas.openxmlformats.org/officeDocument/2006/relationships/worksheet" Target="/xl/worksheets/sheet2.xml" Id="Rfe278a82895a44dc" /><Relationship Type="http://schemas.openxmlformats.org/officeDocument/2006/relationships/worksheet" Target="/xl/worksheets/sheet3.xml" Id="Rfe67c26d55d344d7" /><Relationship Type="http://schemas.microsoft.com/office/2017/10/relationships/person" Target="/xl/persons/person.xml" Id="R375010dd32c24a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b753fb645f41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hr betting sessions, Mar–Aug 2026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hr betting sessions</c:v>
          </c:tx>
          <c:marker>
            <c:symbol val="none"/>
          </c:marker>
          <c:cat>
            <c:strRef>
              <c:f>'FEG context'!$C$6:$C$11</c:f>
              <c:strCache>
                <c:ptCount val="0"/>
              </c:strCache>
            </c:strRef>
          </c:cat>
          <c:val>
            <c:numRef>
              <c:f>'FEG context'!$D$6:$D$11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b753fb645f411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ntextFlow source notes" id="{9094CF59-0939-4B3C-B41E-F066ABD51B5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9" dT="2026-09-09T05:26:44.897" personId="{9094CF59-0939-4B3C-B41E-F066ABD51B54}" id="{411788D1-1925-4E31-B82A-4A4809BC00DC}">
    <xltc:text>ECB 8 September 2026: EUR 1 = USD 1.1614. Divide USD prices by this input. Source: https://www.ecb.europa.eu/stats/policy_and_exchange_rates/euro_reference_exchange_rates/html/index.en.html</xltc:text>
  </xltc:threadedComment>
  <xltc:threadedComment ref="D10" dT="2026-09-09T05:26:44.901" personId="{9094CF59-0939-4B3C-B41E-F066ABD51B54}" id="{39FAD811-B754-4E91-BFB9-ABA06DB01AE7}">
    <xltc:text>Azure GPT-Realtime-2.1 Global public USD list rate, checked 9 September 2026. Deployment alias alone does not verify SKU. https://azure.microsoft.com/en-us/pricing/details/azure-openai/</xltc:text>
  </xltc:threadedComment>
  <xltc:threadedComment ref="D11" dT="2026-09-09T05:26:44.901" personId="{9094CF59-0939-4B3C-B41E-F066ABD51B54}" id="{ADFDBE16-4624-4890-92F2-4C57DE86FA3D}">
    <xltc:text>Azure GPT-Realtime-2.1 Global public USD list rate, checked 9 September 2026. Deployment alias alone does not verify SKU. https://azure.microsoft.com/en-us/pricing/details/azure-openai/</xltc:text>
  </xltc:threadedComment>
  <xltc:threadedComment ref="D12" dT="2026-09-09T05:26:44.901" personId="{9094CF59-0939-4B3C-B41E-F066ABD51B54}" id="{445D8309-7B00-48BB-892D-E043B353F6BD}">
    <xltc:text>Azure GPT-Realtime-2.1 Global public USD list rate, checked 9 September 2026. Deployment alias alone does not verify SKU. https://azure.microsoft.com/en-us/pricing/details/azure-openai/</xltc:text>
  </xltc:threadedComment>
  <xltc:threadedComment ref="D13" dT="2026-09-09T05:26:44.901" personId="{9094CF59-0939-4B3C-B41E-F066ABD51B54}" id="{F597DDD6-E67B-4221-A6D3-396C3DBA8876}">
    <xltc:text>Azure GPT-Realtime-2.1 Global public USD list rate, checked 9 September 2026. Deployment alias alone does not verify SKU. https://azure.microsoft.com/en-us/pricing/details/azure-openai/</xltc:text>
  </xltc:threadedComment>
  <xltc:threadedComment ref="D14" dT="2026-09-09T05:26:44.901" personId="{9094CF59-0939-4B3C-B41E-F066ABD51B54}" id="{904AFAD2-53A6-40EB-BB87-02C9460769E1}">
    <xltc:text>Azure GPT-Realtime-2.1 Global public USD list rate, checked 9 September 2026. Deployment alias alone does not verify SKU. https://azure.microsoft.com/en-us/pricing/details/azure-openai/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dd4ca7097624c3e" /><Relationship Type="http://schemas.openxmlformats.org/officeDocument/2006/relationships/vmlDrawing" Target="/xl/drawings/vmldrawing.vml" Id="Rf62436110a6c40d6" /><Relationship Type="http://schemas.microsoft.com/office/2017/10/relationships/threadedComment" Target="/xl/threadedcomments/threadedcomment.xml" Id="R96091b9f2d0743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02d602e0cc444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8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/>
      <x:c r="B2" s="1"/>
      <x:c r="C2" s="2" t="str">
        <x:v>ContextFlow | 30-day pilot economics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 t="str">
        <x:v>Illustrative scenarios, not measured ROI. EUR; no stake is counted as revenue.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4" t="str">
        <x:v>Treatment adoption</x:v>
      </x:c>
      <x:c r="D5" s="11" t="n">
        <x:v>0.1</x:v>
      </x:c>
      <x:c r="E5" s="11" t="n">
        <x:v>0.2</x:v>
      </x:c>
      <x:c r="F5" s="11" t="n">
        <x:v>0.3</x:v>
      </x:c>
      <x:c r="G5" s="1"/>
      <x:c r="H5" s="1"/>
      <x:c r="I5" s="1"/>
      <x:c r="J5" s="1"/>
      <x:c r="K5" s="1"/>
      <x:c r="L5" s="1"/>
      <x:c r="M5" s="1"/>
    </x:row>
    <x:row r="6" ht="23" customHeight="1">
      <x:c r="A6" s="1"/>
      <x:c r="B6" s="1"/>
      <x:c r="C6" s="1" t="str">
        <x:v>Treatment participants</x:v>
      </x:c>
      <x:c r="D6" s="1" t="n">
        <x:f>IF(OR(COUNT(Drivers!$D$6:$D$38)&lt;33,Drivers!$D$9&lt;=0,Drivers!$D$6&lt;=0,Drivers!$D$7&lt;=0,Drivers!$D$7&gt;1,Drivers!$D$8&lt;0,MIN(Drivers!$D$10:$D$38)&lt;0),"UNRESOLVED",Drivers!$D$6*Drivers!$D$7)</x:f>
        <x:v>500</x:v>
      </x:c>
      <x:c r="E6" s="1" t="n">
        <x:f>IF(OR(COUNT(Drivers!$D$6:$D$38)&lt;33,Drivers!$D$9&lt;=0,Drivers!$D$6&lt;=0,Drivers!$D$7&lt;=0,Drivers!$D$7&gt;1,Drivers!$D$8&lt;0,MIN(Drivers!$D$10:$D$38)&lt;0),"UNRESOLVED",Drivers!$D$6*Drivers!$D$7)</x:f>
        <x:v>500</x:v>
      </x:c>
      <x:c r="F6" s="1" t="n">
        <x:f>IF(OR(COUNT(Drivers!$D$6:$D$38)&lt;33,Drivers!$D$9&lt;=0,Drivers!$D$6&lt;=0,Drivers!$D$7&lt;=0,Drivers!$D$7&gt;1,Drivers!$D$8&lt;0,MIN(Drivers!$D$10:$D$38)&lt;0),"UNRESOLVED",Drivers!$D$6*Drivers!$D$7)</x:f>
        <x:v>500</x:v>
      </x:c>
      <x:c r="G6" s="1"/>
      <x:c r="H6" s="1"/>
      <x:c r="I6" s="1"/>
      <x:c r="J6" s="1"/>
      <x:c r="K6" s="1"/>
      <x:c r="L6" s="1"/>
      <x:c r="M6" s="1"/>
    </x:row>
    <x:row r="7" ht="23" customHeight="1">
      <x:c r="A7" s="1"/>
      <x:c r="B7" s="1"/>
      <x:c r="C7" s="1" t="str">
        <x:v>Treatment adopters</x:v>
      </x:c>
      <x:c r="D7" s="1" t="n">
        <x:f>IF(OR(COUNT(Drivers!$D$6:$D$38)&lt;33,Drivers!$D$9&lt;=0,Drivers!$D$6&lt;=0,Drivers!$D$7&lt;=0,Drivers!$D$7&gt;1,Drivers!$D$8&lt;0,MIN(Drivers!$D$10:$D$38)&lt;0),"UNRESOLVED",D6*D5)</x:f>
        <x:v>50</x:v>
      </x:c>
      <x:c r="E7" s="1" t="n">
        <x:f>IF(OR(COUNT(Drivers!$D$6:$D$38)&lt;33,Drivers!$D$9&lt;=0,Drivers!$D$6&lt;=0,Drivers!$D$7&lt;=0,Drivers!$D$7&gt;1,Drivers!$D$8&lt;0,MIN(Drivers!$D$10:$D$38)&lt;0),"UNRESOLVED",E6*E5)</x:f>
        <x:v>100</x:v>
      </x:c>
      <x:c r="F7" s="1" t="n">
        <x:f>IF(OR(COUNT(Drivers!$D$6:$D$38)&lt;33,Drivers!$D$9&lt;=0,Drivers!$D$6&lt;=0,Drivers!$D$7&lt;=0,Drivers!$D$7&gt;1,Drivers!$D$8&lt;0,MIN(Drivers!$D$10:$D$38)&lt;0),"UNRESOLVED",F6*F5)</x:f>
        <x:v>150</x:v>
      </x:c>
      <x:c r="G7" s="1"/>
      <x:c r="H7" s="1" t="str">
        <x:v>1000 participants: 500 control + 500 treatment; 30 days exposure.</x:v>
      </x:c>
      <x:c r="I7" s="1"/>
      <x:c r="J7" s="1"/>
      <x:c r="K7" s="1"/>
      <x:c r="L7" s="1"/>
      <x:c r="M7" s="1"/>
    </x:row>
    <x:row r="8" ht="23" customHeight="1">
      <x:c r="A8" s="1"/>
      <x:c r="B8" s="1"/>
      <x:c r="C8" s="1" t="str">
        <x:v>Voice tasks / month</x:v>
      </x:c>
      <x:c r="D8" s="1" t="n">
        <x:f>IF(OR(COUNT(Drivers!$D$6:$D$38)&lt;33,Drivers!$D$9&lt;=0,Drivers!$D$6&lt;=0,Drivers!$D$7&lt;=0,Drivers!$D$7&gt;1,Drivers!$D$8&lt;0,MIN(Drivers!$D$10:$D$38)&lt;0),"UNRESOLVED",D7*Drivers!$D$8)</x:f>
        <x:v>200</x:v>
      </x:c>
      <x:c r="E8" s="1" t="n">
        <x:f>IF(OR(COUNT(Drivers!$D$6:$D$38)&lt;33,Drivers!$D$9&lt;=0,Drivers!$D$6&lt;=0,Drivers!$D$7&lt;=0,Drivers!$D$7&gt;1,Drivers!$D$8&lt;0,MIN(Drivers!$D$10:$D$38)&lt;0),"UNRESOLVED",E7*Drivers!$D$8)</x:f>
        <x:v>400</x:v>
      </x:c>
      <x:c r="F8" s="1" t="n">
        <x:f>IF(OR(COUNT(Drivers!$D$6:$D$38)&lt;33,Drivers!$D$9&lt;=0,Drivers!$D$6&lt;=0,Drivers!$D$7&lt;=0,Drivers!$D$7&gt;1,Drivers!$D$8&lt;0,MIN(Drivers!$D$10:$D$38)&lt;0),"UNRESOLVED",F7*Drivers!$D$8)</x:f>
        <x:v>600</x:v>
      </x:c>
      <x:c r="G8" s="1"/>
      <x:c r="H8" s="1" t="str">
        <x:v>Adoption and value are assumptions; compare randomized arms for causal impact.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1"/>
      <x:c r="C10" s="1" t="str">
        <x:v>Voice processing</x:v>
      </x:c>
      <x:c r="D10" s="12" t="n">
        <x:f>IF(OR(COUNT(Drivers!$D$6:$D$38)&lt;33,Drivers!$D$9&lt;=0,Drivers!$D$6&lt;=0,Drivers!$D$7&lt;=0,Drivers!$D$7&gt;1,Drivers!$D$8&lt;0,MIN(Drivers!$D$10:$D$38)&lt;0),"UNRESOLVED",D8*(Drivers!$D$16*Drivers!$D$10+Drivers!$D$17*Drivers!$D$11+Drivers!$D$18*Drivers!$D$12+Drivers!$D$19*Drivers!$D$13+Drivers!$D$20*Drivers!$D$14)/1000000/Drivers!$D$9)</x:f>
        <x:v>27.07077664887205</x:v>
      </x:c>
      <x:c r="E10" s="12" t="n">
        <x:f>IF(OR(COUNT(Drivers!$D$6:$D$38)&lt;33,Drivers!$D$9&lt;=0,Drivers!$D$6&lt;=0,Drivers!$D$7&lt;=0,Drivers!$D$7&gt;1,Drivers!$D$8&lt;0,MIN(Drivers!$D$10:$D$38)&lt;0),"UNRESOLVED",E8*(Drivers!$D$16*Drivers!$D$10+Drivers!$D$17*Drivers!$D$11+Drivers!$D$18*Drivers!$D$12+Drivers!$D$19*Drivers!$D$13+Drivers!$D$20*Drivers!$D$14)/1000000/Drivers!$D$9)</x:f>
        <x:v>54.1415532977441</x:v>
      </x:c>
      <x:c r="F10" s="12" t="n">
        <x:f>IF(OR(COUNT(Drivers!$D$6:$D$38)&lt;33,Drivers!$D$9&lt;=0,Drivers!$D$6&lt;=0,Drivers!$D$7&lt;=0,Drivers!$D$7&gt;1,Drivers!$D$8&lt;0,MIN(Drivers!$D$10:$D$38)&lt;0),"UNRESOLVED",F8*(Drivers!$D$16*Drivers!$D$10+Drivers!$D$17*Drivers!$D$11+Drivers!$D$18*Drivers!$D$12+Drivers!$D$19*Drivers!$D$13+Drivers!$D$20*Drivers!$D$14)/1000000/Drivers!$D$9)</x:f>
        <x:v>81.21232994661615</x:v>
      </x:c>
      <x:c r="G10" s="1"/>
      <x:c r="H10" s="1"/>
      <x:c r="I10" s="1"/>
      <x:c r="J10" s="1"/>
      <x:c r="K10" s="1"/>
      <x:c r="L10" s="1"/>
      <x:c r="M10" s="1"/>
    </x:row>
    <x:row r="11" ht="23" customHeight="1">
      <x:c r="A11" s="1"/>
      <x:c r="B11" s="1"/>
      <x:c r="C11" s="1" t="str">
        <x:v>Transcription</x:v>
      </x:c>
      <x:c r="D11" s="12" t="n">
        <x:f>IF(OR(COUNT(Drivers!$D$6:$D$38)&lt;33,Drivers!$D$9&lt;=0,Drivers!$D$6&lt;=0,Drivers!$D$7&lt;=0,Drivers!$D$7&gt;1,Drivers!$D$8&lt;0,MIN(Drivers!$D$10:$D$38)&lt;0),"UNRESOLVED",D8*Drivers!$D$21*Drivers!$D$15/Drivers!$D$9)</x:f>
        <x:v>2.066471499913897</x:v>
      </x:c>
      <x:c r="E11" s="12" t="n">
        <x:f>IF(OR(COUNT(Drivers!$D$6:$D$38)&lt;33,Drivers!$D$9&lt;=0,Drivers!$D$6&lt;=0,Drivers!$D$7&lt;=0,Drivers!$D$7&gt;1,Drivers!$D$8&lt;0,MIN(Drivers!$D$10:$D$38)&lt;0),"UNRESOLVED",E8*Drivers!$D$21*Drivers!$D$15/Drivers!$D$9)</x:f>
        <x:v>4.132942999827794</x:v>
      </x:c>
      <x:c r="F11" s="12" t="n">
        <x:f>IF(OR(COUNT(Drivers!$D$6:$D$38)&lt;33,Drivers!$D$9&lt;=0,Drivers!$D$6&lt;=0,Drivers!$D$7&lt;=0,Drivers!$D$7&gt;1,Drivers!$D$8&lt;0,MIN(Drivers!$D$10:$D$38)&lt;0),"UNRESOLVED",F8*Drivers!$D$21*Drivers!$D$15/Drivers!$D$9)</x:f>
        <x:v>6.199414499741692</x:v>
      </x:c>
      <x:c r="G11" s="1"/>
      <x:c r="H11" s="1"/>
      <x:c r="I11" s="1"/>
      <x:c r="J11" s="1"/>
      <x:c r="K11" s="1"/>
      <x:c r="L11" s="1"/>
      <x:c r="M11" s="1"/>
    </x:row>
    <x:row r="12" ht="23" customHeight="1">
      <x:c r="A12" s="1"/>
      <x:c r="B12" s="1"/>
      <x:c r="C12" s="1" t="str">
        <x:v>Variable infrastructure</x:v>
      </x:c>
      <x:c r="D12" s="12" t="n">
        <x:f>IF(OR(COUNT(Drivers!$D$6:$D$38)&lt;33,Drivers!$D$9&lt;=0,Drivers!$D$6&lt;=0,Drivers!$D$7&lt;=0,Drivers!$D$7&gt;1,Drivers!$D$8&lt;0,MIN(Drivers!$D$10:$D$38)&lt;0),"UNRESOLVED",D8*Drivers!$D$22)</x:f>
        <x:v>2</x:v>
      </x:c>
      <x:c r="E12" s="12" t="n">
        <x:f>IF(OR(COUNT(Drivers!$D$6:$D$38)&lt;33,Drivers!$D$9&lt;=0,Drivers!$D$6&lt;=0,Drivers!$D$7&lt;=0,Drivers!$D$7&gt;1,Drivers!$D$8&lt;0,MIN(Drivers!$D$10:$D$38)&lt;0),"UNRESOLVED",E8*Drivers!$D$22)</x:f>
        <x:v>4</x:v>
      </x:c>
      <x:c r="F12" s="12" t="n">
        <x:f>IF(OR(COUNT(Drivers!$D$6:$D$38)&lt;33,Drivers!$D$9&lt;=0,Drivers!$D$6&lt;=0,Drivers!$D$7&lt;=0,Drivers!$D$7&gt;1,Drivers!$D$8&lt;0,MIN(Drivers!$D$10:$D$38)&lt;0),"UNRESOLVED",F8*Drivers!$D$22)</x:f>
        <x:v>6</x:v>
      </x:c>
      <x:c r="G12" s="1"/>
      <x:c r="H12" s="1"/>
      <x:c r="I12" s="1"/>
      <x:c r="J12" s="1"/>
      <x:c r="K12" s="1"/>
      <x:c r="L12" s="1"/>
      <x:c r="M12" s="1"/>
    </x:row>
    <x:row r="13" ht="23" customHeight="1">
      <x:c r="A13" s="1"/>
      <x:c r="B13" s="1"/>
      <x:c r="C13" s="1" t="str">
        <x:v>Variable notifications</x:v>
      </x:c>
      <x:c r="D13" s="12" t="n">
        <x:f>IF(OR(COUNT(Drivers!$D$6:$D$38)&lt;33,Drivers!$D$9&lt;=0,Drivers!$D$6&lt;=0,Drivers!$D$7&lt;=0,Drivers!$D$7&gt;1,Drivers!$D$8&lt;0,MIN(Drivers!$D$10:$D$38)&lt;0),"UNRESOLVED",D7*Drivers!$D$24*Drivers!$D$25)</x:f>
        <x:v>0.15</x:v>
      </x:c>
      <x:c r="E13" s="12" t="n">
        <x:f>IF(OR(COUNT(Drivers!$D$6:$D$38)&lt;33,Drivers!$D$9&lt;=0,Drivers!$D$6&lt;=0,Drivers!$D$7&lt;=0,Drivers!$D$7&gt;1,Drivers!$D$8&lt;0,MIN(Drivers!$D$10:$D$38)&lt;0),"UNRESOLVED",E7*Drivers!$D$24*Drivers!$D$25)</x:f>
        <x:v>0.3</x:v>
      </x:c>
      <x:c r="F13" s="12" t="n">
        <x:f>IF(OR(COUNT(Drivers!$D$6:$D$38)&lt;33,Drivers!$D$9&lt;=0,Drivers!$D$6&lt;=0,Drivers!$D$7&lt;=0,Drivers!$D$7&gt;1,Drivers!$D$8&lt;0,MIN(Drivers!$D$10:$D$38)&lt;0),"UNRESOLVED",F7*Drivers!$D$24*Drivers!$D$25)</x:f>
        <x:v>0.45</x:v>
      </x:c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1"/>
      <x:c r="C14" s="1" t="str">
        <x:v>Variable support</x:v>
      </x:c>
      <x:c r="D14" s="12" t="n">
        <x:f>IF(OR(COUNT(Drivers!$D$6:$D$38)&lt;33,Drivers!$D$9&lt;=0,Drivers!$D$6&lt;=0,Drivers!$D$7&lt;=0,Drivers!$D$7&gt;1,Drivers!$D$8&lt;0,MIN(Drivers!$D$10:$D$38)&lt;0),"UNRESOLVED",D7*Drivers!$D$27*Drivers!$D$28)</x:f>
        <x:v>25</x:v>
      </x:c>
      <x:c r="E14" s="12" t="n">
        <x:f>IF(OR(COUNT(Drivers!$D$6:$D$38)&lt;33,Drivers!$D$9&lt;=0,Drivers!$D$6&lt;=0,Drivers!$D$7&lt;=0,Drivers!$D$7&gt;1,Drivers!$D$8&lt;0,MIN(Drivers!$D$10:$D$38)&lt;0),"UNRESOLVED",E7*Drivers!$D$27*Drivers!$D$28)</x:f>
        <x:v>50</x:v>
      </x:c>
      <x:c r="F14" s="12" t="n">
        <x:f>IF(OR(COUNT(Drivers!$D$6:$D$38)&lt;33,Drivers!$D$9&lt;=0,Drivers!$D$6&lt;=0,Drivers!$D$7&lt;=0,Drivers!$D$7&gt;1,Drivers!$D$8&lt;0,MIN(Drivers!$D$10:$D$38)&lt;0),"UNRESOLVED",F7*Drivers!$D$27*Drivers!$D$28)</x:f>
        <x:v>75</x:v>
      </x:c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1" t="str">
        <x:v>Fixed infrastructure + notifications</x:v>
      </x:c>
      <x:c r="D15" s="12" t="n">
        <x:f>IF(OR(COUNT(Drivers!$D$6:$D$38)&lt;33,Drivers!$D$9&lt;=0,Drivers!$D$6&lt;=0,Drivers!$D$7&lt;=0,Drivers!$D$7&gt;1,Drivers!$D$8&lt;0,MIN(Drivers!$D$10:$D$38)&lt;0),"UNRESOLVED",Drivers!$D$23+Drivers!$D$26)</x:f>
        <x:v>85</x:v>
      </x:c>
      <x:c r="E15" s="12" t="n">
        <x:f>IF(OR(COUNT(Drivers!$D$6:$D$38)&lt;33,Drivers!$D$9&lt;=0,Drivers!$D$6&lt;=0,Drivers!$D$7&lt;=0,Drivers!$D$7&gt;1,Drivers!$D$8&lt;0,MIN(Drivers!$D$10:$D$38)&lt;0),"UNRESOLVED",Drivers!$D$23+Drivers!$D$26)</x:f>
        <x:v>85</x:v>
      </x:c>
      <x:c r="F15" s="12" t="n">
        <x:f>IF(OR(COUNT(Drivers!$D$6:$D$38)&lt;33,Drivers!$D$9&lt;=0,Drivers!$D$6&lt;=0,Drivers!$D$7&lt;=0,Drivers!$D$7&gt;1,Drivers!$D$8&lt;0,MIN(Drivers!$D$10:$D$38)&lt;0),"UNRESOLVED",Drivers!$D$23+Drivers!$D$26)</x:f>
        <x:v>85</x:v>
      </x:c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 t="str">
        <x:v>Fixed support</x:v>
      </x:c>
      <x:c r="D16" s="12" t="n">
        <x:f>IF(OR(COUNT(Drivers!$D$6:$D$38)&lt;33,Drivers!$D$9&lt;=0,Drivers!$D$6&lt;=0,Drivers!$D$7&lt;=0,Drivers!$D$7&gt;1,Drivers!$D$8&lt;0,MIN(Drivers!$D$10:$D$38)&lt;0),"UNRESOLVED",Drivers!$D$29*Drivers!$D$28)</x:f>
        <x:v>60</x:v>
      </x:c>
      <x:c r="E16" s="12" t="n">
        <x:f>IF(OR(COUNT(Drivers!$D$6:$D$38)&lt;33,Drivers!$D$9&lt;=0,Drivers!$D$6&lt;=0,Drivers!$D$7&lt;=0,Drivers!$D$7&gt;1,Drivers!$D$8&lt;0,MIN(Drivers!$D$10:$D$38)&lt;0),"UNRESOLVED",Drivers!$D$29*Drivers!$D$28)</x:f>
        <x:v>60</x:v>
      </x:c>
      <x:c r="F16" s="12" t="n">
        <x:f>IF(OR(COUNT(Drivers!$D$6:$D$38)&lt;33,Drivers!$D$9&lt;=0,Drivers!$D$6&lt;=0,Drivers!$D$7&lt;=0,Drivers!$D$7&gt;1,Drivers!$D$8&lt;0,MIN(Drivers!$D$10:$D$38)&lt;0),"UNRESOLVED",Drivers!$D$29*Drivers!$D$28)</x:f>
        <x:v>60</x:v>
      </x:c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8" t="str">
        <x:v>Total monthly operating cost</x:v>
      </x:c>
      <x:c r="D17" s="19" t="n">
        <x:f>IF(OR(COUNT(Drivers!$D$6:$D$38)&lt;33,Drivers!$D$9&lt;=0,Drivers!$D$6&lt;=0,Drivers!$D$7&lt;=0,Drivers!$D$7&gt;1,Drivers!$D$8&lt;0,MIN(Drivers!$D$10:$D$38)&lt;0),"UNRESOLVED",SUM(D10:D16))</x:f>
        <x:v>201.28724814878595</x:v>
      </x:c>
      <x:c r="E17" s="19" t="n">
        <x:f>IF(OR(COUNT(Drivers!$D$6:$D$38)&lt;33,Drivers!$D$9&lt;=0,Drivers!$D$6&lt;=0,Drivers!$D$7&lt;=0,Drivers!$D$7&gt;1,Drivers!$D$8&lt;0,MIN(Drivers!$D$10:$D$38)&lt;0),"UNRESOLVED",SUM(E10:E16))</x:f>
        <x:v>257.5744962975719</x:v>
      </x:c>
      <x:c r="F17" s="19" t="n">
        <x:f>IF(OR(COUNT(Drivers!$D$6:$D$38)&lt;33,Drivers!$D$9&lt;=0,Drivers!$D$6&lt;=0,Drivers!$D$7&lt;=0,Drivers!$D$7&gt;1,Drivers!$D$8&lt;0,MIN(Drivers!$D$10:$D$38)&lt;0),"UNRESOLVED",SUM(F10:F16))</x:f>
        <x:v>313.8617444463579</x:v>
      </x:c>
      <x:c r="G17" s="1"/>
      <x:c r="H17" s="1" t="str">
        <x:v>List rates + assumed workloads; actual voice usage still needs calibration.</x:v>
      </x:c>
      <x:c r="I17" s="1"/>
      <x:c r="J17" s="1"/>
      <x:c r="K17" s="1"/>
      <x:c r="L17" s="1"/>
      <x:c r="M17" s="1"/>
    </x:row>
    <x:row r="18" ht="23" customHeight="1">
      <x:c r="A18" s="1"/>
      <x:c r="B18" s="1"/>
      <x:c r="C18" s="1"/>
      <x:c r="D18" s="12"/>
      <x:c r="E18" s="12"/>
      <x:c r="F18" s="12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 t="str">
        <x:v>Incremental contribution</x:v>
      </x:c>
      <x:c r="D19" s="12" t="n">
        <x:f>IF(OR(COUNT(Drivers!$D$6:$D$38)&lt;33,Drivers!$D$9&lt;=0,Drivers!$D$6&lt;=0,Drivers!$D$7&lt;=0,Drivers!$D$7&gt;1,Drivers!$D$8&lt;0,MIN(Drivers!$D$10:$D$38)&lt;0),"UNRESOLVED",D7*Drivers!$D$30)</x:f>
        <x:v>150</x:v>
      </x:c>
      <x:c r="E19" s="12" t="n">
        <x:f>IF(OR(COUNT(Drivers!$D$6:$D$38)&lt;33,Drivers!$D$9&lt;=0,Drivers!$D$6&lt;=0,Drivers!$D$7&lt;=0,Drivers!$D$7&gt;1,Drivers!$D$8&lt;0,MIN(Drivers!$D$10:$D$38)&lt;0),"UNRESOLVED",E7*Drivers!$D$30)</x:f>
        <x:v>300</x:v>
      </x:c>
      <x:c r="F19" s="12" t="n">
        <x:f>IF(OR(COUNT(Drivers!$D$6:$D$38)&lt;33,Drivers!$D$9&lt;=0,Drivers!$D$6&lt;=0,Drivers!$D$7&lt;=0,Drivers!$D$7&gt;1,Drivers!$D$8&lt;0,MIN(Drivers!$D$10:$D$38)&lt;0),"UNRESOLVED",F7*Drivers!$D$30)</x:f>
        <x:v>450</x:v>
      </x:c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 t="str">
        <x:v>Avoided support contacts</x:v>
      </x:c>
      <x:c r="D20" s="12" t="n">
        <x:f>IF(OR(COUNT(Drivers!$D$6:$D$38)&lt;33,Drivers!$D$9&lt;=0,Drivers!$D$6&lt;=0,Drivers!$D$7&lt;=0,Drivers!$D$7&gt;1,Drivers!$D$8&lt;0,MIN(Drivers!$D$10:$D$38)&lt;0),"UNRESOLVED",D7*Drivers!$D$31*Drivers!$D$32)</x:f>
        <x:v>50</x:v>
      </x:c>
      <x:c r="E20" s="12" t="n">
        <x:f>IF(OR(COUNT(Drivers!$D$6:$D$38)&lt;33,Drivers!$D$9&lt;=0,Drivers!$D$6&lt;=0,Drivers!$D$7&lt;=0,Drivers!$D$7&gt;1,Drivers!$D$8&lt;0,MIN(Drivers!$D$10:$D$38)&lt;0),"UNRESOLVED",E7*Drivers!$D$31*Drivers!$D$32)</x:f>
        <x:v>100</x:v>
      </x:c>
      <x:c r="F20" s="12" t="n">
        <x:f>IF(OR(COUNT(Drivers!$D$6:$D$38)&lt;33,Drivers!$D$9&lt;=0,Drivers!$D$6&lt;=0,Drivers!$D$7&lt;=0,Drivers!$D$7&gt;1,Drivers!$D$8&lt;0,MIN(Drivers!$D$10:$D$38)&lt;0),"UNRESOLVED",F7*Drivers!$D$31*Drivers!$D$32)</x:f>
        <x:v>150</x:v>
      </x:c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8" t="str">
        <x:v>Total monthly benefit</x:v>
      </x:c>
      <x:c r="D21" s="19" t="n">
        <x:f>IF(OR(COUNT(Drivers!$D$6:$D$38)&lt;33,Drivers!$D$9&lt;=0,Drivers!$D$6&lt;=0,Drivers!$D$7&lt;=0,Drivers!$D$7&gt;1,Drivers!$D$8&lt;0,MIN(Drivers!$D$10:$D$38)&lt;0),"UNRESOLVED",SUM(D19:D20))</x:f>
        <x:v>200</x:v>
      </x:c>
      <x:c r="E21" s="19" t="n">
        <x:f>IF(OR(COUNT(Drivers!$D$6:$D$38)&lt;33,Drivers!$D$9&lt;=0,Drivers!$D$6&lt;=0,Drivers!$D$7&lt;=0,Drivers!$D$7&gt;1,Drivers!$D$8&lt;0,MIN(Drivers!$D$10:$D$38)&lt;0),"UNRESOLVED",SUM(E19:E20))</x:f>
        <x:v>400</x:v>
      </x:c>
      <x:c r="F21" s="19" t="n">
        <x:f>IF(OR(COUNT(Drivers!$D$6:$D$38)&lt;33,Drivers!$D$9&lt;=0,Drivers!$D$6&lt;=0,Drivers!$D$7&lt;=0,Drivers!$D$7&gt;1,Drivers!$D$8&lt;0,MIN(Drivers!$D$10:$D$38)&lt;0),"UNRESOLVED",SUM(F19:F20))</x:f>
        <x:v>600</x:v>
      </x:c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8" t="str">
        <x:v>Monthly net benefit</x:v>
      </x:c>
      <x:c r="D22" s="19" t="n">
        <x:f>IF(OR(COUNT(Drivers!$D$6:$D$38)&lt;33,Drivers!$D$9&lt;=0,Drivers!$D$6&lt;=0,Drivers!$D$7&lt;=0,Drivers!$D$7&gt;1,Drivers!$D$8&lt;0,MIN(Drivers!$D$10:$D$38)&lt;0),"UNRESOLVED",D21-D17)</x:f>
        <x:v>-1.2872481487859488</x:v>
      </x:c>
      <x:c r="E22" s="19" t="n">
        <x:f>IF(OR(COUNT(Drivers!$D$6:$D$38)&lt;33,Drivers!$D$9&lt;=0,Drivers!$D$6&lt;=0,Drivers!$D$7&lt;=0,Drivers!$D$7&gt;1,Drivers!$D$8&lt;0,MIN(Drivers!$D$10:$D$38)&lt;0),"UNRESOLVED",E21-E17)</x:f>
        <x:v>142.4255037024281</x:v>
      </x:c>
      <x:c r="F22" s="19" t="n">
        <x:f>IF(OR(COUNT(Drivers!$D$6:$D$38)&lt;33,Drivers!$D$9&lt;=0,Drivers!$D$6&lt;=0,Drivers!$D$7&lt;=0,Drivers!$D$7&gt;1,Drivers!$D$8&lt;0,MIN(Drivers!$D$10:$D$38)&lt;0),"UNRESOLVED",F21-F17)</x:f>
        <x:v>286.1382555536421</x:v>
      </x:c>
      <x:c r="G22" s="1"/>
      <x:c r="H22" s="1" t="str">
        <x:v>Monthly run rate. Negative cases do not pay back.</x:v>
      </x:c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2"/>
      <x:c r="E23" s="12"/>
      <x:c r="F23" s="12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8" t="str">
        <x:v>Upfront integration + assurance</x:v>
      </x:c>
      <x:c r="D24" s="19" t="n">
        <x:f>IF(OR(COUNT(Drivers!$D$6:$D$38)&lt;33,Drivers!$D$9&lt;=0,Drivers!$D$6&lt;=0,Drivers!$D$7&lt;=0,Drivers!$D$7&gt;1,Drivers!$D$8&lt;0,MIN(Drivers!$D$10:$D$38)&lt;0),"UNRESOLVED",Drivers!$D$33*Drivers!$D$34+Drivers!$D$35*Drivers!$D$36+Drivers!$D$37*Drivers!$D$38)</x:f>
        <x:v>9120</x:v>
      </x:c>
      <x:c r="E24" s="19" t="n">
        <x:f>IF(OR(COUNT(Drivers!$D$6:$D$38)&lt;33,Drivers!$D$9&lt;=0,Drivers!$D$6&lt;=0,Drivers!$D$7&lt;=0,Drivers!$D$7&gt;1,Drivers!$D$8&lt;0,MIN(Drivers!$D$10:$D$38)&lt;0),"UNRESOLVED",Drivers!$D$33*Drivers!$D$34+Drivers!$D$35*Drivers!$D$36+Drivers!$D$37*Drivers!$D$38)</x:f>
        <x:v>9120</x:v>
      </x:c>
      <x:c r="F24" s="19" t="n">
        <x:f>IF(OR(COUNT(Drivers!$D$6:$D$38)&lt;33,Drivers!$D$9&lt;=0,Drivers!$D$6&lt;=0,Drivers!$D$7&lt;=0,Drivers!$D$7&gt;1,Drivers!$D$8&lt;0,MIN(Drivers!$D$10:$D$38)&lt;0),"UNRESOLVED",Drivers!$D$33*Drivers!$D$34+Drivers!$D$35*Drivers!$D$36+Drivers!$D$37*Drivers!$D$38)</x:f>
        <x:v>9120</x:v>
      </x:c>
      <x:c r="G24" s="1"/>
      <x:c r="H24" s="1" t="str">
        <x:v>EUR 9,120 illustrative effort; excludes unquoted production identity services.</x:v>
      </x:c>
      <x:c r="I24" s="1"/>
      <x:c r="J24" s="1"/>
      <x:c r="K24" s="1"/>
      <x:c r="L24" s="1"/>
      <x:c r="M24" s="1"/>
    </x:row>
    <x:row r="25" ht="23" customHeight="1">
      <x:c r="A25" s="1"/>
      <x:c r="B25" s="1"/>
      <x:c r="C25" s="1" t="str">
        <x:v>30-day net after upfront effort</x:v>
      </x:c>
      <x:c r="D25" s="12" t="n">
        <x:f>IF(OR(COUNT(Drivers!$D$6:$D$38)&lt;33,Drivers!$D$9&lt;=0,Drivers!$D$6&lt;=0,Drivers!$D$7&lt;=0,Drivers!$D$7&gt;1,Drivers!$D$8&lt;0,MIN(Drivers!$D$10:$D$38)&lt;0),"UNRESOLVED",D22-D24)</x:f>
        <x:v>-9121.287248148787</x:v>
      </x:c>
      <x:c r="E25" s="12" t="n">
        <x:f>IF(OR(COUNT(Drivers!$D$6:$D$38)&lt;33,Drivers!$D$9&lt;=0,Drivers!$D$6&lt;=0,Drivers!$D$7&lt;=0,Drivers!$D$7&gt;1,Drivers!$D$8&lt;0,MIN(Drivers!$D$10:$D$38)&lt;0),"UNRESOLVED",E22-E24)</x:f>
        <x:v>-8977.574496297571</x:v>
      </x:c>
      <x:c r="F25" s="12" t="n">
        <x:f>IF(OR(COUNT(Drivers!$D$6:$D$38)&lt;33,Drivers!$D$9&lt;=0,Drivers!$D$6&lt;=0,Drivers!$D$7&lt;=0,Drivers!$D$7&gt;1,Drivers!$D$8&lt;0,MIN(Drivers!$D$10:$D$38)&lt;0),"UNRESOLVED",F22-F24)</x:f>
        <x:v>-8833.861744446358</x:v>
      </x:c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 t="str">
        <x:v>Simple payback, months</x:v>
      </x:c>
      <x:c r="D26" s="13" t="str">
        <x:f>IF(OR(COUNT(Drivers!$D$6:$D$38)&lt;33,Drivers!$D$9&lt;=0,Drivers!$D$6&lt;=0,Drivers!$D$7&lt;=0,Drivers!$D$7&gt;1,Drivers!$D$8&lt;0,MIN(Drivers!$D$10:$D$38)&lt;0),"UNRESOLVED",IF(D22&lt;=0,"n.a.",D24/D22))</x:f>
        <x:v>n.a.</x:v>
      </x:c>
      <x:c r="E26" s="13" t="n">
        <x:f>IF(OR(COUNT(Drivers!$D$6:$D$38)&lt;33,Drivers!$D$9&lt;=0,Drivers!$D$6&lt;=0,Drivers!$D$7&lt;=0,Drivers!$D$7&gt;1,Drivers!$D$8&lt;0,MIN(Drivers!$D$10:$D$38)&lt;0),"UNRESOLVED",IF(E22&lt;=0,"n.a.",E24/E22))</x:f>
        <x:v>64.03347548662747</x:v>
      </x:c>
      <x:c r="F26" s="13" t="n">
        <x:f>IF(OR(COUNT(Drivers!$D$6:$D$38)&lt;33,Drivers!$D$9&lt;=0,Drivers!$D$6&lt;=0,Drivers!$D$7&lt;=0,Drivers!$D$7&gt;1,Drivers!$D$8&lt;0,MIN(Drivers!$D$10:$D$38)&lt;0),"UNRESOLVED",IF(F22&lt;=0,"n.a.",F24/F22))</x:f>
        <x:v>31.872704271415678</x:v>
      </x:c>
      <x:c r="G26" s="1"/>
      <x:c r="H26" s="1" t="str">
        <x:v>Upfront effort / positive monthly net; assumes flat sustained benefits.</x:v>
      </x:c>
      <x:c r="I26" s="1"/>
      <x:c r="J26" s="1"/>
      <x:c r="K26" s="1"/>
      <x:c r="L26" s="1"/>
      <x:c r="M26" s="1"/>
    </x:row>
    <x:row r="27" ht="23" customHeight="1">
      <x:c r="A27" s="1"/>
      <x:c r="B27" s="1"/>
      <x:c r="C27" s="18" t="str">
        <x:v>Break-even contribution / adopter</x:v>
      </x:c>
      <x:c r="D27" s="19" t="n">
        <x:f>IF(OR(COUNT(Drivers!$D$6:$D$38)&lt;33,Drivers!$D$9&lt;=0,Drivers!$D$6&lt;=0,Drivers!$D$7&lt;=0,Drivers!$D$7&gt;1,Drivers!$D$8&lt;0,MIN(Drivers!$D$10:$D$38)&lt;0),"UNRESOLVED",IF(D7=0,"n.a.",(D17-D20)/D7))</x:f>
        <x:v>3.025744962975719</x:v>
      </x:c>
      <x:c r="E27" s="19" t="n">
        <x:f>IF(OR(COUNT(Drivers!$D$6:$D$38)&lt;33,Drivers!$D$9&lt;=0,Drivers!$D$6&lt;=0,Drivers!$D$7&lt;=0,Drivers!$D$7&gt;1,Drivers!$D$8&lt;0,MIN(Drivers!$D$10:$D$38)&lt;0),"UNRESOLVED",IF(E7=0,"n.a.",(E17-E20)/E7))</x:f>
        <x:v>1.575744962975719</x:v>
      </x:c>
      <x:c r="F27" s="19" t="n">
        <x:f>IF(OR(COUNT(Drivers!$D$6:$D$38)&lt;33,Drivers!$D$9&lt;=0,Drivers!$D$6&lt;=0,Drivers!$D$7&lt;=0,Drivers!$D$7&gt;1,Drivers!$D$8&lt;0,MIN(Drivers!$D$10:$D$38)&lt;0),"UNRESOLVED",IF(F7=0,"n.a.",(F17-F20)/F7))</x:f>
        <x:v>1.0924116296423858</x:v>
      </x:c>
      <x:c r="G27" s="1"/>
      <x:c r="H27" s="1" t="str">
        <x:v>Incremental operator contribution needed after assumed support savings.</x:v>
      </x:c>
      <x:c r="I27" s="1"/>
      <x:c r="J27" s="1"/>
      <x:c r="K27" s="1"/>
      <x:c r="L27" s="1"/>
      <x:c r="M27" s="1"/>
    </x:row>
    <x:row r="28" ht="23" customHeight="1">
      <x:c r="A28" s="1"/>
      <x:c r="B28" s="1"/>
      <x:c r="C28" s="1"/>
      <x:c r="D28" s="12"/>
      <x:c r="E28" s="12"/>
      <x:c r="F28" s="12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 t="str">
        <x:v>Variable cost / voice task</x:v>
      </x:c>
      <x:c r="D29" s="12" t="n">
        <x:f>IF(OR(COUNT(Drivers!$D$6:$D$38)&lt;33,Drivers!$D$9&lt;=0,Drivers!$D$6&lt;=0,Drivers!$D$7&lt;=0,Drivers!$D$7&gt;1,Drivers!$D$8&lt;0,MIN(Drivers!$D$10:$D$38)&lt;0),"UNRESOLVED",IF(D8=0,"n.a.",SUM(D10:D12)/D8))</x:f>
        <x:v>0.15568624074392975</x:v>
      </x:c>
      <x:c r="E29" s="12" t="n">
        <x:f>IF(OR(COUNT(Drivers!$D$6:$D$38)&lt;33,Drivers!$D$9&lt;=0,Drivers!$D$6&lt;=0,Drivers!$D$7&lt;=0,Drivers!$D$7&gt;1,Drivers!$D$8&lt;0,MIN(Drivers!$D$10:$D$38)&lt;0),"UNRESOLVED",IF(E8=0,"n.a.",SUM(E10:E12)/E8))</x:f>
        <x:v>0.15568624074392975</x:v>
      </x:c>
      <x:c r="F29" s="12" t="n">
        <x:f>IF(OR(COUNT(Drivers!$D$6:$D$38)&lt;33,Drivers!$D$9&lt;=0,Drivers!$D$6&lt;=0,Drivers!$D$7&lt;=0,Drivers!$D$7&gt;1,Drivers!$D$8&lt;0,MIN(Drivers!$D$10:$D$38)&lt;0),"UNRESOLVED",IF(F8=0,"n.a.",SUM(F10:F12)/F8))</x:f>
        <x:v>0.15568624074392973</x:v>
      </x:c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 t="str">
        <x:v>Variable cost / adopter / month</x:v>
      </x:c>
      <x:c r="D30" s="12" t="n">
        <x:f>IF(OR(COUNT(Drivers!$D$6:$D$38)&lt;33,Drivers!$D$9&lt;=0,Drivers!$D$6&lt;=0,Drivers!$D$7&lt;=0,Drivers!$D$7&gt;1,Drivers!$D$8&lt;0,MIN(Drivers!$D$10:$D$38)&lt;0),"UNRESOLVED",IF(D7=0,"n.a.",SUM(D10:D14)/D7))</x:f>
        <x:v>1.125744962975719</x:v>
      </x:c>
      <x:c r="E30" s="12" t="n">
        <x:f>IF(OR(COUNT(Drivers!$D$6:$D$38)&lt;33,Drivers!$D$9&lt;=0,Drivers!$D$6&lt;=0,Drivers!$D$7&lt;=0,Drivers!$D$7&gt;1,Drivers!$D$8&lt;0,MIN(Drivers!$D$10:$D$38)&lt;0),"UNRESOLVED",IF(E7=0,"n.a.",SUM(E10:E14)/E7))</x:f>
        <x:v>1.125744962975719</x:v>
      </x:c>
      <x:c r="F30" s="12" t="n">
        <x:f>IF(OR(COUNT(Drivers!$D$6:$D$38)&lt;33,Drivers!$D$9&lt;=0,Drivers!$D$6&lt;=0,Drivers!$D$7&lt;=0,Drivers!$D$7&gt;1,Drivers!$D$8&lt;0,MIN(Drivers!$D$10:$D$38)&lt;0),"UNRESOLVED",IF(F7=0,"n.a.",SUM(F10:F14)/F7))</x:f>
        <x:v>1.125744962975719</x:v>
      </x:c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 t="str">
        <x:v>Fixed operating cost / month</x:v>
      </x:c>
      <x:c r="D31" s="12" t="n">
        <x:f>IF(OR(COUNT(Drivers!$D$6:$D$38)&lt;33,Drivers!$D$9&lt;=0,Drivers!$D$6&lt;=0,Drivers!$D$7&lt;=0,Drivers!$D$7&gt;1,Drivers!$D$8&lt;0,MIN(Drivers!$D$10:$D$38)&lt;0),"UNRESOLVED",SUM(D15:D16))</x:f>
        <x:v>145</x:v>
      </x:c>
      <x:c r="E31" s="12" t="n">
        <x:f>IF(OR(COUNT(Drivers!$D$6:$D$38)&lt;33,Drivers!$D$9&lt;=0,Drivers!$D$6&lt;=0,Drivers!$D$7&lt;=0,Drivers!$D$7&gt;1,Drivers!$D$8&lt;0,MIN(Drivers!$D$10:$D$38)&lt;0),"UNRESOLVED",SUM(E15:E16))</x:f>
        <x:v>145</x:v>
      </x:c>
      <x:c r="F31" s="12" t="n">
        <x:f>IF(OR(COUNT(Drivers!$D$6:$D$38)&lt;33,Drivers!$D$9&lt;=0,Drivers!$D$6&lt;=0,Drivers!$D$7&lt;=0,Drivers!$D$7&gt;1,Drivers!$D$8&lt;0,MIN(Drivers!$D$10:$D$38)&lt;0),"UNRESOLVED",SUM(F15:F16))</x:f>
        <x:v>145</x:v>
      </x:c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 t="str">
        <x:v>Break-even adopters</x:v>
      </x:c>
      <x:c r="D32" s="13" t="n">
        <x:f>IF(OR(COUNT(Drivers!$D$6:$D$38)&lt;33,Drivers!$D$9&lt;=0,Drivers!$D$6&lt;=0,Drivers!$D$7&lt;=0,Drivers!$D$7&gt;1,Drivers!$D$8&lt;0,MIN(Drivers!$D$10:$D$38)&lt;0),"UNRESOLVED",IF(D7=0,"n.a.",IF(Drivers!$D$30+Drivers!$D$31*Drivers!$D$32-D30&lt;=0,"n.a.",D31/(Drivers!$D$30+Drivers!$D$31*Drivers!$D$32-D30))))</x:f>
        <x:v>50.44785453350675</x:v>
      </x:c>
      <x:c r="E32" s="13" t="n">
        <x:f>IF(OR(COUNT(Drivers!$D$6:$D$38)&lt;33,Drivers!$D$9&lt;=0,Drivers!$D$6&lt;=0,Drivers!$D$7&lt;=0,Drivers!$D$7&gt;1,Drivers!$D$8&lt;0,MIN(Drivers!$D$10:$D$38)&lt;0),"UNRESOLVED",IF(E7=0,"n.a.",IF(Drivers!$D$30+Drivers!$D$31*Drivers!$D$32-E30&lt;=0,"n.a.",E31/(Drivers!$D$30+Drivers!$D$31*Drivers!$D$32-E30))))</x:f>
        <x:v>50.44785453350675</x:v>
      </x:c>
      <x:c r="F32" s="13" t="n">
        <x:f>IF(OR(COUNT(Drivers!$D$6:$D$38)&lt;33,Drivers!$D$9&lt;=0,Drivers!$D$6&lt;=0,Drivers!$D$7&lt;=0,Drivers!$D$7&gt;1,Drivers!$D$8&lt;0,MIN(Drivers!$D$10:$D$38)&lt;0),"UNRESOLVED",IF(F7=0,"n.a.",IF(Drivers!$D$30+Drivers!$D$31*Drivers!$D$32-F30&lt;=0,"n.a.",F31/(Drivers!$D$30+Drivers!$D$31*Drivers!$D$32-F30))))</x:f>
        <x:v>50.44785453350675</x:v>
      </x:c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 t="str">
        <x:v>Break-even treatment adoption</x:v>
      </x:c>
      <x:c r="D33" s="14" t="n">
        <x:f>IF(OR(COUNT(Drivers!$D$6:$D$38)&lt;33,Drivers!$D$9&lt;=0,Drivers!$D$6&lt;=0,Drivers!$D$7&lt;=0,Drivers!$D$7&gt;1,Drivers!$D$8&lt;0,MIN(Drivers!$D$10:$D$38)&lt;0),"UNRESOLVED",IF(ISNUMBER(D32),D32/D6,"n.a."))</x:f>
        <x:v>0.10089570906701349</x:v>
      </x:c>
      <x:c r="E33" s="14" t="n">
        <x:f>IF(OR(COUNT(Drivers!$D$6:$D$38)&lt;33,Drivers!$D$9&lt;=0,Drivers!$D$6&lt;=0,Drivers!$D$7&lt;=0,Drivers!$D$7&gt;1,Drivers!$D$8&lt;0,MIN(Drivers!$D$10:$D$38)&lt;0),"UNRESOLVED",IF(ISNUMBER(E32),E32/E6,"n.a."))</x:f>
        <x:v>0.10089570906701349</x:v>
      </x:c>
      <x:c r="F33" s="14" t="n">
        <x:f>IF(OR(COUNT(Drivers!$D$6:$D$38)&lt;33,Drivers!$D$9&lt;=0,Drivers!$D$6&lt;=0,Drivers!$D$7&lt;=0,Drivers!$D$7&gt;1,Drivers!$D$8&lt;0,MIN(Drivers!$D$10:$D$38)&lt;0),"UNRESOLVED",IF(ISNUMBER(F32),F32/F6,"n.a."))</x:f>
        <x:v>0.10089570906701349</x:v>
      </x:c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2"/>
      <x:c r="E34" s="12"/>
      <x:c r="F34" s="12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 t="str">
        <x:v>Monthly arithmetic check</x:v>
      </x:c>
      <x:c r="D35" s="15" t="n">
        <x:f>IF(OR(COUNT(Drivers!$D$6:$D$38)&lt;33,Drivers!$D$9&lt;=0,Drivers!$D$6&lt;=0,Drivers!$D$7&lt;=0,Drivers!$D$7&gt;1,Drivers!$D$8&lt;0,MIN(Drivers!$D$10:$D$38)&lt;0),"UNRESOLVED",D21-D17-D22)</x:f>
        <x:v>0</x:v>
      </x:c>
      <x:c r="E35" s="15" t="n">
        <x:f>IF(OR(COUNT(Drivers!$D$6:$D$38)&lt;33,Drivers!$D$9&lt;=0,Drivers!$D$6&lt;=0,Drivers!$D$7&lt;=0,Drivers!$D$7&gt;1,Drivers!$D$8&lt;0,MIN(Drivers!$D$10:$D$38)&lt;0),"UNRESOLVED",E21-E17-E22)</x:f>
        <x:v>0</x:v>
      </x:c>
      <x:c r="F35" s="15" t="n">
        <x:f>IF(OR(COUNT(Drivers!$D$6:$D$38)&lt;33,Drivers!$D$9&lt;=0,Drivers!$D$6&lt;=0,Drivers!$D$7&lt;=0,Drivers!$D$7&gt;1,Drivers!$D$8&lt;0,MIN(Drivers!$D$10:$D$38)&lt;0),"UNRESOLVED",F21-F17-F22)</x:f>
        <x:v>0</x:v>
      </x:c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 t="str">
        <x:v>Calibration status</x:v>
      </x:c>
      <x:c r="D36" s="1" t="str">
        <x:v>UNRESOLVED</x:v>
      </x:c>
      <x:c r="E36" s="1" t="str">
        <x:v>UNRESOLVED</x:v>
      </x:c>
      <x:c r="F36" s="1" t="str">
        <x:v>UNRESOLVED</x:v>
      </x:c>
      <x:c r="G36" s="1"/>
      <x:c r="H36" s="1" t="str">
        <x:v>Unknown identity costs, SKU and billed usage prevent a validated ROI claim.</x:v>
      </x:c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 t="str">
        <x:v>Pilot outcomes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 t="str">
        <x:v>Useful app opens / assigned user / week; DAU / MAU; task completion.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 t="str">
        <x:v>Widget adoption, surface tap-through, live-moment use and opt-in retention.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 t="str">
        <x:v>Count completed off-app interactions separately; they are not app opens.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 t="str">
        <x:v>Track opt-outs, suppressed alerts and harmful-play indicators alongside value.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 t="str">
        <x:v>Pre-register meaningful-open definition; review D30 and D90 retention.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</x:sheetData>
  <x:conditionalFormatting sqref="D22:F22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6" hidden="0" customWidth="1"/>
    <x:col min="5" max="5" width="41" hidden="0" customWidth="1"/>
    <x:col min="6" max="6" width="23" hidden="0" customWidth="1"/>
    <x:col min="7" max="7" width="3" hidden="0" customWidth="1"/>
    <x:col min="8" max="8" width="8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/>
      <x:c r="B2" s="1"/>
      <x:c r="C2" s="2" t="str">
        <x:v>ContextFlow | cost and value drivers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 t="str">
        <x:v>30-day pilot. Blue values are editable assumptions.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4" t="str">
        <x:v>Driver</x:v>
      </x:c>
      <x:c r="D5" s="4" t="str">
        <x:v>Value</x:v>
      </x:c>
      <x:c r="E5" s="4" t="str">
        <x:v>Basis</x:v>
      </x:c>
      <x:c r="F5" s="4" t="str">
        <x:v>Unit</x:v>
      </x:c>
      <x:c r="G5" s="1"/>
      <x:c r="H5" s="1"/>
      <x:c r="I5" s="1"/>
      <x:c r="J5" s="1"/>
      <x:c r="K5" s="1"/>
      <x:c r="L5" s="1"/>
      <x:c r="M5" s="1"/>
    </x:row>
    <x:row r="6" ht="23" customHeight="1">
      <x:c r="A6" s="1"/>
      <x:c r="B6" s="1"/>
      <x:c r="C6" s="1" t="str">
        <x:v>Pilot participants</x:v>
      </x:c>
      <x:c r="D6" s="5" t="n">
        <x:v>1000</x:v>
      </x:c>
      <x:c r="E6" s="1" t="str">
        <x:v>Proposed</x:v>
      </x:c>
      <x:c r="F6" s="1" t="str">
        <x:v>people</x:v>
      </x:c>
      <x:c r="G6" s="1"/>
      <x:c r="H6" s="1"/>
      <x:c r="I6" s="1"/>
      <x:c r="J6" s="1"/>
      <x:c r="K6" s="1"/>
      <x:c r="L6" s="1"/>
      <x:c r="M6" s="1"/>
    </x:row>
    <x:row r="7" ht="23" customHeight="1">
      <x:c r="A7" s="1"/>
      <x:c r="B7" s="1"/>
      <x:c r="C7" s="1" t="str">
        <x:v>Treatment assignment</x:v>
      </x:c>
      <x:c r="D7" s="6" t="n">
        <x:v>0.5</x:v>
      </x:c>
      <x:c r="E7" s="1" t="str">
        <x:v>Proposed</x:v>
      </x:c>
      <x:c r="F7" s="1" t="str">
        <x:v>share</x:v>
      </x:c>
      <x:c r="G7" s="1"/>
      <x:c r="H7" s="1"/>
      <x:c r="I7" s="1"/>
      <x:c r="J7" s="1"/>
      <x:c r="K7" s="1"/>
      <x:c r="L7" s="1"/>
      <x:c r="M7" s="1"/>
    </x:row>
    <x:row r="8" ht="23" customHeight="1">
      <x:c r="A8" s="1"/>
      <x:c r="B8" s="1"/>
      <x:c r="C8" s="1" t="str">
        <x:v>Voice tasks per adopter / month</x:v>
      </x:c>
      <x:c r="D8" s="5" t="n">
        <x:v>4</x:v>
      </x:c>
      <x:c r="E8" s="1" t="str">
        <x:v>Assumption</x:v>
      </x:c>
      <x:c r="F8" s="1" t="str">
        <x:v>tasks</x:v>
      </x:c>
      <x:c r="G8" s="1"/>
      <x:c r="H8" s="1"/>
      <x:c r="I8" s="1"/>
      <x:c r="J8" s="1"/>
      <x:c r="K8" s="1"/>
      <x:c r="L8" s="1"/>
      <x:c r="M8" s="1"/>
    </x:row>
    <x:row r="9" ht="23" customHeight="1">
      <x:c r="A9" s="1"/>
      <x:c r="B9" s="1"/>
      <x:c r="C9" s="1" t="str">
        <x:v>USD per EUR</x:v>
      </x:c>
      <x:c r="D9" s="7" t="n">
        <x:v>1.1614</x:v>
      </x:c>
      <x:c r="E9" s="1" t="str">
        <x:v>Published, 8 Sep 2026</x:v>
      </x:c>
      <x:c r="F9" s="1" t="str">
        <x:v>USD / EUR</x:v>
      </x:c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1"/>
      <x:c r="C10" s="1" t="str">
        <x:v>Text input, uncached</x:v>
      </x:c>
      <x:c r="D10" s="8" t="n">
        <x:v>4</x:v>
      </x:c>
      <x:c r="E10" s="1" t="str">
        <x:v>Published, Azure Global</x:v>
      </x:c>
      <x:c r="F10" s="1" t="str">
        <x:v>USD / 1M tokens</x:v>
      </x:c>
      <x:c r="G10" s="1"/>
      <x:c r="H10" s="1"/>
      <x:c r="I10" s="1"/>
      <x:c r="J10" s="1"/>
      <x:c r="K10" s="1"/>
      <x:c r="L10" s="1"/>
      <x:c r="M10" s="1"/>
    </x:row>
    <x:row r="11" ht="23" customHeight="1">
      <x:c r="A11" s="1"/>
      <x:c r="B11" s="1"/>
      <x:c r="C11" s="1" t="str">
        <x:v>Text input, cached</x:v>
      </x:c>
      <x:c r="D11" s="8" t="n">
        <x:v>0.4</x:v>
      </x:c>
      <x:c r="E11" s="1" t="str">
        <x:v>Published, Azure Global</x:v>
      </x:c>
      <x:c r="F11" s="1" t="str">
        <x:v>USD / 1M tokens</x:v>
      </x:c>
      <x:c r="G11" s="1"/>
      <x:c r="H11" s="1"/>
      <x:c r="I11" s="1"/>
      <x:c r="J11" s="1"/>
      <x:c r="K11" s="1"/>
      <x:c r="L11" s="1"/>
      <x:c r="M11" s="1"/>
    </x:row>
    <x:row r="12" ht="23" customHeight="1">
      <x:c r="A12" s="1"/>
      <x:c r="B12" s="1"/>
      <x:c r="C12" s="1" t="str">
        <x:v>Text output</x:v>
      </x:c>
      <x:c r="D12" s="8" t="n">
        <x:v>24</x:v>
      </x:c>
      <x:c r="E12" s="1" t="str">
        <x:v>Published, Azure Global</x:v>
      </x:c>
      <x:c r="F12" s="1" t="str">
        <x:v>USD / 1M tokens</x:v>
      </x:c>
      <x:c r="G12" s="1"/>
      <x:c r="H12" s="1"/>
      <x:c r="I12" s="1"/>
      <x:c r="J12" s="1"/>
      <x:c r="K12" s="1"/>
      <x:c r="L12" s="1"/>
      <x:c r="M12" s="1"/>
    </x:row>
    <x:row r="13" ht="23" customHeight="1">
      <x:c r="A13" s="1"/>
      <x:c r="B13" s="1"/>
      <x:c r="C13" s="1" t="str">
        <x:v>Audio input, uncached</x:v>
      </x:c>
      <x:c r="D13" s="8" t="n">
        <x:v>32</x:v>
      </x:c>
      <x:c r="E13" s="1" t="str">
        <x:v>Published, Azure Global</x:v>
      </x:c>
      <x:c r="F13" s="1" t="str">
        <x:v>USD / 1M tokens</x:v>
      </x:c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1"/>
      <x:c r="C14" s="1" t="str">
        <x:v>Audio output</x:v>
      </x:c>
      <x:c r="D14" s="8" t="n">
        <x:v>64</x:v>
      </x:c>
      <x:c r="E14" s="1" t="str">
        <x:v>Published, Azure Global</x:v>
      </x:c>
      <x:c r="F14" s="1" t="str">
        <x:v>USD / 1M tokens</x:v>
      </x:c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1" t="str">
        <x:v>Whisper transcription</x:v>
      </x:c>
      <x:c r="D15" s="8" t="n">
        <x:v>0.006</x:v>
      </x:c>
      <x:c r="E15" s="1" t="str">
        <x:v>Published reference</x:v>
      </x:c>
      <x:c r="F15" s="1" t="str">
        <x:v>USD / minute</x:v>
      </x:c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 t="str">
        <x:v>Uncached text input per task</x:v>
      </x:c>
      <x:c r="D16" s="5" t="n">
        <x:v>2000</x:v>
      </x:c>
      <x:c r="E16" s="1" t="str">
        <x:v>Assumption; uncalibrated</x:v>
      </x:c>
      <x:c r="F16" s="1" t="str">
        <x:v>tokens</x:v>
      </x:c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 t="str">
        <x:v>Cached text input per task</x:v>
      </x:c>
      <x:c r="D17" s="5" t="n">
        <x:v>1000</x:v>
      </x:c>
      <x:c r="E17" s="1" t="str">
        <x:v>Assumption; uncalibrated</x:v>
      </x:c>
      <x:c r="F17" s="1" t="str">
        <x:v>tokens</x:v>
      </x:c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 t="str">
        <x:v>Text output per task</x:v>
      </x:c>
      <x:c r="D18" s="5" t="n">
        <x:v>200</x:v>
      </x:c>
      <x:c r="E18" s="1" t="str">
        <x:v>Assumption; uncalibrated</x:v>
      </x:c>
      <x:c r="F18" s="1" t="str">
        <x:v>tokens</x:v>
      </x:c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 t="str">
        <x:v>Audio input per task</x:v>
      </x:c>
      <x:c r="D19" s="5" t="n">
        <x:v>1500</x:v>
      </x:c>
      <x:c r="E19" s="1" t="str">
        <x:v>Assumption; uncalibrated</x:v>
      </x:c>
      <x:c r="F19" s="1" t="str">
        <x:v>tokens</x:v>
      </x:c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 t="str">
        <x:v>Audio output per task</x:v>
      </x:c>
      <x:c r="D20" s="5" t="n">
        <x:v>1500</x:v>
      </x:c>
      <x:c r="E20" s="1" t="str">
        <x:v>Assumption; uncalibrated</x:v>
      </x:c>
      <x:c r="F20" s="1" t="str">
        <x:v>tokens</x:v>
      </x:c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 t="str">
        <x:v>Transcription per task</x:v>
      </x:c>
      <x:c r="D21" s="5" t="n">
        <x:v>2</x:v>
      </x:c>
      <x:c r="E21" s="1" t="str">
        <x:v>Assumption; uncalibrated</x:v>
      </x:c>
      <x:c r="F21" s="1" t="str">
        <x:v>minutes</x:v>
      </x:c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 t="str">
        <x:v>Infrastructure per task</x:v>
      </x:c>
      <x:c r="D22" s="5" t="n">
        <x:v>0.01</x:v>
      </x:c>
      <x:c r="E22" s="1" t="str">
        <x:v>Assumption</x:v>
      </x:c>
      <x:c r="F22" s="1" t="str">
        <x:v>EUR / task</x:v>
      </x:c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 t="str">
        <x:v>Fixed infrastructure per month</x:v>
      </x:c>
      <x:c r="D23" s="5" t="n">
        <x:v>75</x:v>
      </x:c>
      <x:c r="E23" s="1" t="str">
        <x:v>Assumption</x:v>
      </x:c>
      <x:c r="F23" s="1" t="str">
        <x:v>EUR / month</x:v>
      </x:c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 t="str">
        <x:v>Optional alerts per adopter</x:v>
      </x:c>
      <x:c r="D24" s="5" t="n">
        <x:v>3</x:v>
      </x:c>
      <x:c r="E24" s="1" t="str">
        <x:v>Assumption; below daily cap</x:v>
      </x:c>
      <x:c r="F24" s="1" t="str">
        <x:v>alerts / month</x:v>
      </x:c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 t="str">
        <x:v>Delivery / logging per alert</x:v>
      </x:c>
      <x:c r="D25" s="5" t="n">
        <x:v>0.001</x:v>
      </x:c>
      <x:c r="E25" s="1" t="str">
        <x:v>Assumption; not an APNs fee</x:v>
      </x:c>
      <x:c r="F25" s="1" t="str">
        <x:v>EUR / alert</x:v>
      </x:c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 t="str">
        <x:v>Fixed notification operations</x:v>
      </x:c>
      <x:c r="D26" s="5" t="n">
        <x:v>10</x:v>
      </x:c>
      <x:c r="E26" s="1" t="str">
        <x:v>Assumption</x:v>
      </x:c>
      <x:c r="F26" s="1" t="str">
        <x:v>EUR / month</x:v>
      </x:c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 t="str">
        <x:v>Support per adopter</x:v>
      </x:c>
      <x:c r="D27" s="5" t="n">
        <x:v>1</x:v>
      </x:c>
      <x:c r="E27" s="1" t="str">
        <x:v>Assumption</x:v>
      </x:c>
      <x:c r="F27" s="1" t="str">
        <x:v>minutes / month</x:v>
      </x:c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 t="str">
        <x:v>Support cost</x:v>
      </x:c>
      <x:c r="D28" s="5" t="n">
        <x:v>0.5</x:v>
      </x:c>
      <x:c r="E28" s="1" t="str">
        <x:v>Assumption</x:v>
      </x:c>
      <x:c r="F28" s="1" t="str">
        <x:v>EUR / minute</x:v>
      </x:c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 t="str">
        <x:v>Fixed pilot support</x:v>
      </x:c>
      <x:c r="D29" s="5" t="n">
        <x:v>120</x:v>
      </x:c>
      <x:c r="E29" s="1" t="str">
        <x:v>Assumption</x:v>
      </x:c>
      <x:c r="F29" s="1" t="str">
        <x:v>minutes / month</x:v>
      </x:c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 t="str">
        <x:v>Incremental contribution / adopter</x:v>
      </x:c>
      <x:c r="D30" s="5" t="n">
        <x:v>3</x:v>
      </x:c>
      <x:c r="E30" s="1" t="str">
        <x:v>Assumption; not stakes</x:v>
      </x:c>
      <x:c r="F30" s="1" t="str">
        <x:v>EUR / month</x:v>
      </x:c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 t="str">
        <x:v>Support contacts avoided / adopter</x:v>
      </x:c>
      <x:c r="D31" s="5" t="n">
        <x:v>0.25</x:v>
      </x:c>
      <x:c r="E31" s="1" t="str">
        <x:v>Assumption</x:v>
      </x:c>
      <x:c r="F31" s="1" t="str">
        <x:v>contacts / month</x:v>
      </x:c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 t="str">
        <x:v>Saving per avoided contact</x:v>
      </x:c>
      <x:c r="D32" s="5" t="n">
        <x:v>4</x:v>
      </x:c>
      <x:c r="E32" s="1" t="str">
        <x:v>Assumption</x:v>
      </x:c>
      <x:c r="F32" s="1" t="str">
        <x:v>EUR / contact</x:v>
      </x:c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 t="str">
        <x:v>Integration engineering</x:v>
      </x:c>
      <x:c r="D33" s="5" t="n">
        <x:v>80</x:v>
      </x:c>
      <x:c r="E33" s="1" t="str">
        <x:v>Assumption</x:v>
      </x:c>
      <x:c r="F33" s="1" t="str">
        <x:v>hours upfront</x:v>
      </x:c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 t="str">
        <x:v>Integration engineering rate</x:v>
      </x:c>
      <x:c r="D34" s="5" t="n">
        <x:v>75</x:v>
      </x:c>
      <x:c r="E34" s="1" t="str">
        <x:v>Assumption</x:v>
      </x:c>
      <x:c r="F34" s="1" t="str">
        <x:v>EUR / hour</x:v>
      </x:c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 t="str">
        <x:v>Legal / privacy review</x:v>
      </x:c>
      <x:c r="D35" s="5" t="n">
        <x:v>24</x:v>
      </x:c>
      <x:c r="E35" s="1" t="str">
        <x:v>Assumption</x:v>
      </x:c>
      <x:c r="F35" s="1" t="str">
        <x:v>hours upfront</x:v>
      </x:c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 t="str">
        <x:v>Legal / privacy rate</x:v>
      </x:c>
      <x:c r="D36" s="5" t="n">
        <x:v>90</x:v>
      </x:c>
      <x:c r="E36" s="1" t="str">
        <x:v>Assumption</x:v>
      </x:c>
      <x:c r="F36" s="1" t="str">
        <x:v>EUR / hour</x:v>
      </x:c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 t="str">
        <x:v>Accessibility validation</x:v>
      </x:c>
      <x:c r="D37" s="5" t="n">
        <x:v>16</x:v>
      </x:c>
      <x:c r="E37" s="1" t="str">
        <x:v>Assumption</x:v>
      </x:c>
      <x:c r="F37" s="1" t="str">
        <x:v>hours upfront</x:v>
      </x:c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 t="str">
        <x:v>Accessibility rate</x:v>
      </x:c>
      <x:c r="D38" s="5" t="n">
        <x:v>60</x:v>
      </x:c>
      <x:c r="E38" s="1" t="str">
        <x:v>Assumption</x:v>
      </x:c>
      <x:c r="F38" s="1" t="str">
        <x:v>EUR / hour</x:v>
      </x:c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 t="str">
        <x:v>Production identity / exclusion services</x:v>
      </x:c>
      <x:c r="D39" s="9"/>
      <x:c r="E39" s="10" t="str">
        <x:v>UNRESOLVED: operator quote</x:v>
      </x:c>
      <x:c r="F39" s="10" t="str">
        <x:v>EUR</x:v>
      </x:c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 t="str">
        <x:v>Actual billed tokens per human task</x:v>
      </x:c>
      <x:c r="D40" s="9"/>
      <x:c r="E40" s="10" t="str">
        <x:v>UNRESOLVED: record 3 human runs</x:v>
      </x:c>
      <x:c r="F40" s="10" t="str">
        <x:v>tokens</x:v>
      </x:c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 t="str">
        <x:v>Deployment SKU / invoice rate confirmed</x:v>
      </x:c>
      <x:c r="D41" s="9"/>
      <x:c r="E41" s="10" t="str">
        <x:v>UNRESOLVED: confirm Azure contract</x:v>
      </x:c>
      <x:c r="F41" s="10" t="str">
        <x:v>yes / no</x:v>
      </x:c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 t="str">
        <x:v>Configured alias: gpt-realtime-2.1-feg; price reference: GPT-Realtime-2.1 Global.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 t="str">
        <x:v>No audio-cache discount assumed. Input categories are mutually exclusive.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 t="str">
        <x:v>Global/Data Zone, negotiated pricing and billing treatment require confirmation.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 t="str">
        <x:v>Transcription is separate in this illustration; reconcile against the actual invoice.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 t="str">
        <x:v>Azure pricing, checked 9 Sep 2026</x:v>
      </x:c>
      <x:c r="D49" s="1" t="str">
        <x:v>https://azure.microsoft.com/en-us/pricing/details/azure-openai/</x:v>
      </x:c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 t="str">
        <x:v>Microsoft Whisper reference</x:v>
      </x:c>
      <x:c r="D50" s="1" t="str">
        <x:v>https://techcommunity.microsoft.com/blog/azure-ai-foundry-blog/choose-the-right-speech-and-voice-model/4533856</x:v>
      </x:c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A51" s="1"/>
      <x:c r="B51" s="1"/>
      <x:c r="C51" s="1" t="str">
        <x:v>ECB: 8 Sep 2026 reference</x:v>
      </x:c>
      <x:c r="D51" s="1" t="str">
        <x:v>https://www.ecb.europa.eu/stats/policy_and_exchange_rates/euro_reference_exchange_rates/html/index.en.html</x:v>
      </x:c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</x:sheetData>
  <x:pageMargins left="0.7" right="0.7" top="0.75" bottom="0.75" header="0.3" footer="0.3"/>
  <x:legacyDrawing xmlns:r="http://schemas.openxmlformats.org/officeDocument/2006/relationships" r:id="Rf62436110a6c40d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8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/>
      <x:c r="B2" s="1"/>
      <x:c r="C2" s="2" t="str">
        <x:v>FEG historical context | definitions kept separate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4" t="str">
        <x:v>Month, 2026</x:v>
      </x:c>
      <x:c r="D5" s="4" t="str">
        <x:v>hr betting sessions</x:v>
      </x:c>
      <x:c r="E5" s="4" t="str">
        <x:v>hr active players</x:v>
      </x:c>
      <x:c r="F5" s="4" t="str">
        <x:v>sessions / player</x:v>
      </x:c>
      <x:c r="G5" s="1"/>
      <x:c r="H5" s="1"/>
      <x:c r="I5" s="1"/>
      <x:c r="J5" s="1"/>
      <x:c r="K5" s="1"/>
      <x:c r="L5" s="1"/>
      <x:c r="M5" s="1"/>
    </x:row>
    <x:row r="6" ht="23" customHeight="1">
      <x:c r="A6" s="1"/>
      <x:c r="B6" s="1"/>
      <x:c r="C6" s="1" t="str">
        <x:v>Mar</x:v>
      </x:c>
      <x:c r="D6" s="20" t="n">
        <x:v>555211</x:v>
      </x:c>
      <x:c r="E6" s="20" t="n">
        <x:v>20877</x:v>
      </x:c>
      <x:c r="F6" s="15" t="n">
        <x:v>26.5943861665948</x:v>
      </x:c>
      <x:c r="G6" s="1"/>
      <x:c r="H6" s="1"/>
      <x:c r="I6" s="1"/>
      <x:c r="J6" s="1"/>
      <x:c r="K6" s="1"/>
      <x:c r="L6" s="1"/>
      <x:c r="M6" s="1"/>
    </x:row>
    <x:row r="7" ht="23" customHeight="1">
      <x:c r="A7" s="1"/>
      <x:c r="B7" s="1"/>
      <x:c r="C7" s="1" t="str">
        <x:v>Apr</x:v>
      </x:c>
      <x:c r="D7" s="20" t="n">
        <x:v>506178</x:v>
      </x:c>
      <x:c r="E7" s="20" t="n">
        <x:v>19112</x:v>
      </x:c>
      <x:c r="F7" s="15" t="n">
        <x:v>26.4848262871494</x:v>
      </x:c>
      <x:c r="G7" s="1"/>
      <x:c r="H7" s="1"/>
      <x:c r="I7" s="1"/>
      <x:c r="J7" s="1"/>
      <x:c r="K7" s="1"/>
      <x:c r="L7" s="1"/>
      <x:c r="M7" s="1"/>
    </x:row>
    <x:row r="8" ht="23" customHeight="1">
      <x:c r="A8" s="1"/>
      <x:c r="B8" s="1"/>
      <x:c r="C8" s="1" t="str">
        <x:v>May</x:v>
      </x:c>
      <x:c r="D8" s="20" t="n">
        <x:v>473177</x:v>
      </x:c>
      <x:c r="E8" s="20" t="n">
        <x:v>20222</x:v>
      </x:c>
      <x:c r="F8" s="15" t="n">
        <x:v>23.3991197705469</x:v>
      </x:c>
      <x:c r="G8" s="1"/>
      <x:c r="H8" s="1"/>
      <x:c r="I8" s="1"/>
      <x:c r="J8" s="1"/>
      <x:c r="K8" s="1"/>
      <x:c r="L8" s="1"/>
      <x:c r="M8" s="1"/>
    </x:row>
    <x:row r="9" ht="23" customHeight="1">
      <x:c r="A9" s="1"/>
      <x:c r="B9" s="1"/>
      <x:c r="C9" s="1" t="str">
        <x:v>Jun</x:v>
      </x:c>
      <x:c r="D9" s="20" t="n">
        <x:v>441799</x:v>
      </x:c>
      <x:c r="E9" s="20" t="n">
        <x:v>23348</x:v>
      </x:c>
      <x:c r="F9" s="15" t="n">
        <x:v>18.9223488093198</x:v>
      </x:c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1"/>
      <x:c r="C10" s="1" t="str">
        <x:v>Jul</x:v>
      </x:c>
      <x:c r="D10" s="20" t="n">
        <x:v>404726</x:v>
      </x:c>
      <x:c r="E10" s="20" t="n">
        <x:v>21079</x:v>
      </x:c>
      <x:c r="F10" s="15" t="n">
        <x:v>19.2004364533421</x:v>
      </x:c>
      <x:c r="G10" s="1"/>
      <x:c r="H10" s="1"/>
      <x:c r="I10" s="1"/>
      <x:c r="J10" s="1"/>
      <x:c r="K10" s="1"/>
      <x:c r="L10" s="1"/>
      <x:c r="M10" s="1"/>
    </x:row>
    <x:row r="11" ht="23" customHeight="1">
      <x:c r="A11" s="1"/>
      <x:c r="B11" s="1"/>
      <x:c r="C11" s="1" t="str">
        <x:v>Aug</x:v>
      </x:c>
      <x:c r="D11" s="20" t="n">
        <x:v>447046</x:v>
      </x:c>
      <x:c r="E11" s="20" t="n">
        <x:v>18397</x:v>
      </x:c>
      <x:c r="F11" s="15" t="n">
        <x:v>24.2999402076425</x:v>
      </x:c>
      <x:c r="G11" s="1"/>
      <x:c r="H11" s="1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4" t="str">
        <x:v>Month, 2026</x:v>
      </x:c>
      <x:c r="D15" s="4" t="str">
        <x:v>HTK-CRO conversion</x:v>
      </x:c>
      <x:c r="E15" s="4" t="str">
        <x:v>median length (sec)</x:v>
      </x:c>
      <x:c r="F15" s="4" t="str">
        <x:v>first bet median (sec)</x:v>
      </x:c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 t="str">
        <x:v>Mar</x:v>
      </x:c>
      <x:c r="D16" s="14" t="n">
        <x:v>0.272409164908855</x:v>
      </x:c>
      <x:c r="E16" s="13" t="n">
        <x:v>247.803</x:v>
      </x:c>
      <x:c r="F16" s="13" t="n">
        <x:v>408</x:v>
      </x:c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 t="str">
        <x:v>Apr</x:v>
      </x:c>
      <x:c r="D17" s="14" t="n">
        <x:v>0.217577752932875</x:v>
      </x:c>
      <x:c r="E17" s="13" t="n">
        <x:v>251.229002</x:v>
      </x:c>
      <x:c r="F17" s="13" t="n">
        <x:v>393</x:v>
      </x:c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 t="str">
        <x:v>May</x:v>
      </x:c>
      <x:c r="D18" s="14" t="n">
        <x:v>0.199718226599652</x:v>
      </x:c>
      <x:c r="E18" s="13" t="n">
        <x:v>211.189022</x:v>
      </x:c>
      <x:c r="F18" s="13" t="n">
        <x:v>377</x:v>
      </x:c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 t="str">
        <x:v>Jun</x:v>
      </x:c>
      <x:c r="D19" s="14" t="n">
        <x:v>0.202998465822983</x:v>
      </x:c>
      <x:c r="E19" s="13" t="n">
        <x:v>206.408014</x:v>
      </x:c>
      <x:c r="F19" s="13" t="n">
        <x:v>336</x:v>
      </x:c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 t="str">
        <x:v>Jul</x:v>
      </x:c>
      <x:c r="D20" s="14" t="n">
        <x:v>0.215374174289611</x:v>
      </x:c>
      <x:c r="E20" s="13" t="n">
        <x:v>240.008</x:v>
      </x:c>
      <x:c r="F20" s="13" t="n">
        <x:v>330</x:v>
      </x:c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 t="str">
        <x:v>Aug</x:v>
      </x:c>
      <x:c r="D21" s="14" t="n">
        <x:v>0.241265974607985</x:v>
      </x:c>
      <x:c r="E21" s="13" t="n">
        <x:v>316.611035</x:v>
      </x:c>
      <x:c r="F21" s="13" t="n">
        <x:v>377</x:v>
      </x:c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 t="str">
        <x:v>hr betting sessions: Mar to Aug change</x:v>
      </x:c>
      <x:c r="D24" s="14" t="n">
        <x:f>D11/D6-1</x:f>
        <x:v>-0.19481782601569497</x:v>
      </x:c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 t="str">
        <x:v>HTK-CRO conversion change, percentage points</x:v>
      </x:c>
      <x:c r="D25" s="15" t="n">
        <x:f>(D21-D16)*100</x:f>
        <x:v>-3.1143190300869983</x:v>
      </x:c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3" customHeight="1">
      <x:c r="A28" s="1"/>
      <x:c r="B28" s="1"/>
      <x:c r="C28" s="1" t="str">
        <x:v>Betting session ends after 15 minutes without another betslip.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3" customHeight="1">
      <x:c r="A29" s="1"/>
      <x:c r="B29" s="1"/>
      <x:c r="C29" s="1" t="str">
        <x:v>Front-end metrics use separate definitions. No cross-table join is assumed.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/>
      <x:c r="C30" s="1" t="str">
        <x:v>No app-open, DAU/MAU, widget adoption or causal uplift baseline is supplied.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/>
      <x:c r="C31" s="1" t="str">
        <x:v>The 377-second August median is 6 min 17 sec, not 6.28 seconds.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/>
      <x:c r="C33" s="1" t="str">
        <x:v>Source: FEG sportsbook workbook, supplied for the hackathon.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 t="str">
        <x:v>https://docs.google.com/spreadsheets/d/1OQZ9dEyS6wmXjZeumU-6lsewlswNXg-p/edit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</x:sheetData>
  <x:pageMargins left="0.7" right="0.7" top="0.75" bottom="0.75" header="0.3" footer="0.3"/>
  <x:drawing xmlns:r="http://schemas.openxmlformats.org/officeDocument/2006/relationships" r:id="R602d602e0cc444ad"/>
</x:worksheet>
</file>